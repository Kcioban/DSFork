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0DB78602-B7EF-4C98-84DF-C758516E288E}" xr6:coauthVersionLast="47" xr6:coauthVersionMax="47" xr10:uidLastSave="{00000000-0000-0000-0000-000000000000}"/>
  <bookViews>
    <workbookView xWindow="-120" yWindow="-120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5" l="1"/>
  <c r="C10" i="5"/>
  <c r="C9" i="5"/>
  <c r="B16" i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4" i="1"/>
  <c r="D4" i="1" s="1"/>
  <c r="D16" i="1" l="1"/>
  <c r="D18" i="1" s="1"/>
</calcChain>
</file>

<file path=xl/sharedStrings.xml><?xml version="1.0" encoding="utf-8"?>
<sst xmlns="http://schemas.openxmlformats.org/spreadsheetml/2006/main" count="45" uniqueCount="34">
  <si>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</si>
  <si>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</si>
  <si>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</si>
  <si>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</si>
  <si>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</si>
  <si>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</si>
  <si>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</si>
  <si>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</si>
  <si>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</si>
  <si>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</si>
  <si>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</si>
  <si>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</si>
  <si>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</si>
  <si>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</si>
  <si>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</si>
  <si>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</si>
  <si>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</si>
  <si>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</si>
  <si>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</si>
  <si>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</si>
  <si>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</si>
  <si>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</si>
  <si>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</si>
  <si>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</si>
  <si>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</si>
  <si>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</si>
  <si>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</si>
  <si>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Dinheiro</t>
  </si>
  <si>
    <t>Troco</t>
  </si>
  <si>
    <t>Caixa</t>
  </si>
  <si>
    <t>Hora</t>
  </si>
  <si>
    <t>Valor</t>
  </si>
  <si>
    <t>Tipo</t>
  </si>
  <si>
    <t>Cartão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</si>
</sst>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0" fillId="0" borderId="0" xfId="1" applyFont="1" applyProtection="1">
      <protection locked="0"/>
    </xf>
    <xf numFmtId="164" fontId="0" fillId="0" borderId="0" xfId="0" applyNumberFormat="1"/>
    <xf numFmtId="44" fontId="7" fillId="4" borderId="0" xfId="0" applyNumberFormat="1" applyFont="1" applyFill="1"/>
    <xf numFmtId="44" fontId="7" fillId="4" borderId="0" xfId="1" applyFont="1" applyFill="1"/>
    <xf numFmtId="44" fontId="7" fillId="4" borderId="2" xfId="1" applyFont="1" applyFill="1" applyBorder="1"/>
    <xf numFmtId="0" fontId="7" fillId="4" borderId="0" xfId="0" applyFont="1" applyFill="1" applyAlignment="1">
      <alignment horizontal="center"/>
    </xf>
    <xf numFmtId="0" fontId="7" fillId="4" borderId="2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[0]!RegistrarCartao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D18"/>
  <sheetViews>
    <sheetView showGridLines="0" tabSelected="1" zoomScale="160" zoomScaleNormal="160" workbookViewId="0">
      <selection activeCell="D17" sqref="D17"/>
    </sheetView>
  </sheetViews>
  <sheetFormatPr defaultRowHeight="15" x14ac:dyDescent="0.25"/>
  <cols>
    <col min="1" max="1" width="29.42578125" customWidth="1"/>
    <col min="2" max="2" width="11.42578125" bestFit="1" customWidth="1"/>
    <col min="3" max="6" width="18.140625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1</v>
      </c>
    </row>
    <row r="3" spans="1:4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4" x14ac:dyDescent="0.25">
      <c r="B4" s="13"/>
      <c r="C4" s="9">
        <f>VLOOKUP(A4,cardapio!$A$4:$B$25,2,0)</f>
        <v>0</v>
      </c>
      <c r="D4" s="9">
        <f>B4*C4</f>
        <v>0</v>
      </c>
    </row>
    <row r="5" spans="1:4" x14ac:dyDescent="0.25">
      <c r="B5" s="13"/>
      <c r="C5" s="9">
        <f>VLOOKUP(A5,cardapio!$A$4:$B$25,2,0)</f>
        <v>0</v>
      </c>
      <c r="D5" s="9">
        <f t="shared" ref="D5:D14" si="0">B5*C5</f>
        <v>0</v>
      </c>
    </row>
    <row r="6" spans="1:4" x14ac:dyDescent="0.25">
      <c r="B6" s="13"/>
      <c r="C6" s="9">
        <f>VLOOKUP(A6,cardapio!$A$4:$B$25,2,0)</f>
        <v>0</v>
      </c>
      <c r="D6" s="9">
        <f t="shared" si="0"/>
        <v>0</v>
      </c>
    </row>
    <row r="7" spans="1:4" x14ac:dyDescent="0.25">
      <c r="B7" s="13"/>
      <c r="C7" s="9">
        <f>VLOOKUP(A7,cardapio!$A$4:$B$25,2,0)</f>
        <v>0</v>
      </c>
      <c r="D7" s="9">
        <f t="shared" si="0"/>
        <v>0</v>
      </c>
    </row>
    <row r="8" spans="1:4" x14ac:dyDescent="0.25">
      <c r="B8" s="13"/>
      <c r="C8" s="9">
        <f>VLOOKUP(A8,cardapio!$A$4:$B$25,2,0)</f>
        <v>0</v>
      </c>
      <c r="D8" s="9">
        <f t="shared" si="0"/>
        <v>0</v>
      </c>
    </row>
    <row r="9" spans="1:4" x14ac:dyDescent="0.25">
      <c r="B9" s="13"/>
      <c r="C9" s="9">
        <f>VLOOKUP(A9,cardapio!$A$4:$B$25,2,0)</f>
        <v>0</v>
      </c>
      <c r="D9" s="9">
        <f t="shared" si="0"/>
        <v>0</v>
      </c>
    </row>
    <row r="10" spans="1:4" x14ac:dyDescent="0.25">
      <c r="B10" s="13"/>
      <c r="C10" s="9">
        <f>VLOOKUP(A10,cardapio!$A$4:$B$25,2,0)</f>
        <v>0</v>
      </c>
      <c r="D10" s="9">
        <f t="shared" si="0"/>
        <v>0</v>
      </c>
    </row>
    <row r="11" spans="1:4" x14ac:dyDescent="0.25">
      <c r="B11" s="13"/>
      <c r="C11" s="9">
        <f>VLOOKUP(A11,cardapio!$A$4:$B$25,2,0)</f>
        <v>0</v>
      </c>
      <c r="D11" s="9">
        <f t="shared" si="0"/>
        <v>0</v>
      </c>
    </row>
    <row r="12" spans="1:4" x14ac:dyDescent="0.25">
      <c r="B12" s="13"/>
      <c r="C12" s="9">
        <f>VLOOKUP(A12,cardapio!$A$4:$B$25,2,0)</f>
        <v>0</v>
      </c>
      <c r="D12" s="9">
        <f t="shared" si="0"/>
        <v>0</v>
      </c>
    </row>
    <row r="13" spans="1:4" x14ac:dyDescent="0.25">
      <c r="B13" s="13"/>
      <c r="C13" s="9">
        <f>VLOOKUP(A13,cardapio!$A$4:$B$25,2,0)</f>
        <v>0</v>
      </c>
      <c r="D13" s="9">
        <f t="shared" si="0"/>
        <v>0</v>
      </c>
    </row>
    <row r="14" spans="1:4" x14ac:dyDescent="0.25">
      <c r="B14" s="13"/>
      <c r="C14" s="9">
        <f>VLOOKUP(A14,cardapio!$A$4:$B$25,2,0)</f>
        <v>0</v>
      </c>
      <c r="D14" s="9">
        <f t="shared" si="0"/>
        <v>0</v>
      </c>
    </row>
    <row r="15" spans="1:4" x14ac:dyDescent="0.25">
      <c r="B15" s="13"/>
      <c r="C15" s="9">
        <f>VLOOKUP(A15,cardapio!$A$4:$B$25,2,0)</f>
        <v>0</v>
      </c>
      <c r="D15" s="9">
        <f>B15*C15</f>
        <v>0</v>
      </c>
    </row>
    <row r="16" spans="1:4" ht="18.75" x14ac:dyDescent="0.3">
      <c r="A16" s="4" t="s">
        <v>25</v>
      </c>
      <c r="B16" s="12">
        <f>SUM(B4:B15)</f>
        <v>0</v>
      </c>
      <c r="C16" s="4"/>
      <c r="D16" s="10">
        <f>SUM(D4:D15)</f>
        <v>0</v>
      </c>
    </row>
    <row r="17" spans="3:4" x14ac:dyDescent="0.25">
      <c r="C17" t="s">
        <v>27</v>
      </c>
      <c r="D17" s="14"/>
    </row>
    <row r="18" spans="3:4" x14ac:dyDescent="0.25">
      <c r="C18" t="s">
        <v>28</v>
      </c>
      <c r="D18" s="11">
        <f>D17-D16</f>
        <v>0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1E4906-D80D-45D1-8DD2-2193B0FEF396}">
          <x14:formula1>
            <xm:f>cardapio!$A$5:$A$24</xm:f>
          </x14:formula1>
          <xm:sqref>A4:A15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B24"/>
  <sheetViews>
    <sheetView showGridLines="0" zoomScale="160" zoomScaleNormal="160" workbookViewId="0">
      <selection activeCell="G24" sqref="G24"/>
    </sheetView>
  </sheetViews>
  <sheetFormatPr defaultRowHeight="15" x14ac:dyDescent="0.25"/>
  <cols>
    <col min="1" max="1" width="28.28515625" customWidth="1"/>
    <col min="2" max="2" width="9.5703125" bestFit="1" customWidth="1"/>
  </cols>
  <sheetData>
    <row r="1" spans="1:2" s="1" customFormat="1" ht="31.5" x14ac:dyDescent="0.5">
      <c r="A1" s="2" t="s">
        <v>0</v>
      </c>
    </row>
    <row r="2" spans="1:2" s="5" customFormat="1" ht="18.75" x14ac:dyDescent="0.3">
      <c r="A2" s="4" t="s">
        <v>1</v>
      </c>
    </row>
    <row r="3" spans="1:2" s="3" customFormat="1" x14ac:dyDescent="0.25">
      <c r="A3" s="6" t="s">
        <v>21</v>
      </c>
      <c r="B3" s="6" t="s">
        <v>22</v>
      </c>
    </row>
    <row r="4" spans="1:2" x14ac:dyDescent="0.25">
      <c r="A4">
        <v>0</v>
      </c>
      <c r="B4" s="7">
        <v>0</v>
      </c>
    </row>
    <row r="5" spans="1:2" x14ac:dyDescent="0.25">
      <c r="A5" t="s">
        <v>2</v>
      </c>
      <c r="B5" s="7">
        <v>5</v>
      </c>
    </row>
    <row r="6" spans="1:2" x14ac:dyDescent="0.25">
      <c r="A6" t="s">
        <v>3</v>
      </c>
      <c r="B6" s="7">
        <v>5.5</v>
      </c>
    </row>
    <row r="7" spans="1:2" x14ac:dyDescent="0.25">
      <c r="A7" t="s">
        <v>4</v>
      </c>
      <c r="B7" s="7">
        <v>6</v>
      </c>
    </row>
    <row r="8" spans="1:2" x14ac:dyDescent="0.25">
      <c r="A8" t="s">
        <v>5</v>
      </c>
      <c r="B8" s="7">
        <v>6</v>
      </c>
    </row>
    <row r="9" spans="1:2" x14ac:dyDescent="0.25">
      <c r="A9" t="s">
        <v>6</v>
      </c>
      <c r="B9" s="7">
        <v>5.5</v>
      </c>
    </row>
    <row r="10" spans="1:2" x14ac:dyDescent="0.25">
      <c r="A10" t="s">
        <v>7</v>
      </c>
      <c r="B10" s="7">
        <v>6</v>
      </c>
    </row>
    <row r="11" spans="1:2" x14ac:dyDescent="0.25">
      <c r="A11" t="s">
        <v>8</v>
      </c>
      <c r="B11" s="7">
        <v>5</v>
      </c>
    </row>
    <row r="12" spans="1:2" x14ac:dyDescent="0.25">
      <c r="A12" t="s">
        <v>9</v>
      </c>
      <c r="B12" s="7">
        <v>5</v>
      </c>
    </row>
    <row r="13" spans="1:2" x14ac:dyDescent="0.25">
      <c r="A13" t="s">
        <v>12</v>
      </c>
      <c r="B13" s="7">
        <v>10</v>
      </c>
    </row>
    <row r="14" spans="1:2" x14ac:dyDescent="0.25">
      <c r="A14" t="s">
        <v>13</v>
      </c>
      <c r="B14" s="7">
        <v>15</v>
      </c>
    </row>
    <row r="15" spans="1:2" x14ac:dyDescent="0.25">
      <c r="A15" t="s">
        <v>10</v>
      </c>
      <c r="B15" s="7">
        <v>8</v>
      </c>
    </row>
    <row r="16" spans="1:2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C11"/>
  <sheetViews>
    <sheetView showGridLines="0" zoomScale="160" zoomScaleNormal="160" workbookViewId="0">
      <selection activeCell="C9" sqref="C9"/>
    </sheetView>
  </sheetViews>
  <sheetFormatPr defaultRowHeight="15" x14ac:dyDescent="0.25"/>
  <cols>
    <col min="1" max="1" width="11.28515625" customWidth="1"/>
    <col min="2" max="2" width="11.42578125" customWidth="1"/>
    <col min="3" max="3" width="12" customWidth="1"/>
  </cols>
  <sheetData>
    <row r="1" spans="1:3" s="1" customFormat="1" ht="31.5" x14ac:dyDescent="0.5">
      <c r="A1" s="2" t="s">
        <v>0</v>
      </c>
    </row>
    <row r="2" spans="1:3" s="5" customFormat="1" ht="18.75" x14ac:dyDescent="0.3">
      <c r="A2" s="4" t="s">
        <v>29</v>
      </c>
    </row>
    <row r="3" spans="1:3" s="3" customFormat="1" x14ac:dyDescent="0.25">
      <c r="A3" s="6" t="s">
        <v>30</v>
      </c>
      <c r="B3" s="6" t="s">
        <v>31</v>
      </c>
      <c r="C3" s="6" t="s">
        <v>32</v>
      </c>
    </row>
    <row r="4" spans="1:3" s="15" customFormat="1" x14ac:dyDescent="0.25">
      <c r="A4" s="15">
        <v>45145.700300925928</v>
      </c>
      <c r="B4" s="7">
        <v>26.5</v>
      </c>
      <c r="C4" s="15" t="s">
        <v>33</v>
      </c>
    </row>
    <row r="5" spans="1:3" s="15" customFormat="1" x14ac:dyDescent="0.25">
      <c r="A5" s="15">
        <v>45145.699976851851</v>
      </c>
      <c r="B5" s="7">
        <v>17</v>
      </c>
      <c r="C5" s="15" t="s">
        <v>33</v>
      </c>
    </row>
    <row r="6" spans="1:3" s="15" customFormat="1" x14ac:dyDescent="0.25">
      <c r="A6" s="15">
        <v>45145.699745370373</v>
      </c>
      <c r="B6" s="7">
        <v>5.5</v>
      </c>
      <c r="C6" s="15" t="s">
        <v>27</v>
      </c>
    </row>
    <row r="7" spans="1:3" s="15" customFormat="1" x14ac:dyDescent="0.25">
      <c r="A7" s="15">
        <v>45145.699629629627</v>
      </c>
      <c r="B7" s="7">
        <v>27</v>
      </c>
      <c r="C7" s="15" t="s">
        <v>27</v>
      </c>
    </row>
    <row r="8" spans="1:3" s="15" customFormat="1" x14ac:dyDescent="0.25">
      <c r="B8" s="7">
        <v>0</v>
      </c>
    </row>
    <row r="9" spans="1:3" x14ac:dyDescent="0.25">
      <c r="A9" s="19" t="s">
        <v>25</v>
      </c>
      <c r="B9" s="19"/>
      <c r="C9" s="16">
        <f>SUM(B3:B8)</f>
        <v>76</v>
      </c>
    </row>
    <row r="10" spans="1:3" x14ac:dyDescent="0.25">
      <c r="A10" s="20" t="s">
        <v>27</v>
      </c>
      <c r="B10" s="20"/>
      <c r="C10" s="18">
        <f>SUMIF(C3:C8,A10,B3:B8)</f>
        <v>32.5</v>
      </c>
    </row>
    <row r="11" spans="1:3" x14ac:dyDescent="0.25">
      <c r="A11" s="19" t="s">
        <v>33</v>
      </c>
      <c r="B11" s="19"/>
      <c r="C11" s="17">
        <f>SUMIF(C3:C8,A11,B3:B8)</f>
        <v>43.5</v>
      </c>
    </row>
  </sheetData>
  <mergeCells count="3">
    <mergeCell ref="A9:B9"/>
    <mergeCell ref="A10:B10"/>
    <mergeCell ref="A11:B1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comanda</vt:lpstr>
      <vt:lpstr>cardapio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2023-08-07T19:56:04Z</dcterms:modified>
</cp:coreProperties>
</file>